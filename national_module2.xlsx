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650"/>
  </bookViews>
  <sheets>
    <sheet name="Data" sheetId="1" r:id="rId1"/>
    <sheet name="Unit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<sst xmlns="http://schemas.openxmlformats.org/spreadsheetml/2006/main" count="62" uniqueCount="33">
  <si>
    <t xml:space="preserve">Years </t>
  </si>
  <si>
    <t>Gross profit</t>
  </si>
  <si>
    <t>Operating profit</t>
  </si>
  <si>
    <t>Profit before tax</t>
  </si>
  <si>
    <t>Profit after tax</t>
  </si>
  <si>
    <t>Gross Profit Margin</t>
  </si>
  <si>
    <t>Operating Profit Margin</t>
  </si>
  <si>
    <t>Net Profit Margin</t>
  </si>
  <si>
    <t xml:space="preserve">EBITDA Margin </t>
  </si>
  <si>
    <t>Return on Equity</t>
  </si>
  <si>
    <t>Current Ratio</t>
  </si>
  <si>
    <t>Quick Ratio</t>
  </si>
  <si>
    <t xml:space="preserve">Cash to Current Liabilities </t>
  </si>
  <si>
    <t>Operating Cash Flow to Sales</t>
  </si>
  <si>
    <t xml:space="preserve">Inventory Days </t>
  </si>
  <si>
    <t>Receivables Days</t>
  </si>
  <si>
    <t>Payables Days</t>
  </si>
  <si>
    <t>Operating Cycle</t>
  </si>
  <si>
    <t>Asset Turnover</t>
  </si>
  <si>
    <t>Interest Coverage Ratio</t>
  </si>
  <si>
    <t>Profit before Tax</t>
  </si>
  <si>
    <t>Revenue</t>
  </si>
  <si>
    <t>Non current asset</t>
  </si>
  <si>
    <t>Current Assets</t>
  </si>
  <si>
    <t>Total Assets</t>
  </si>
  <si>
    <t>Non-Current Liabilities</t>
  </si>
  <si>
    <t>Current Liabilities</t>
  </si>
  <si>
    <t>Total Equity &amp; Liabilities</t>
  </si>
  <si>
    <t>Cost of goods sold</t>
  </si>
  <si>
    <t xml:space="preserve">Units </t>
  </si>
  <si>
    <t>%</t>
  </si>
  <si>
    <t>times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</si>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</sst>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2" fontId="2" fillId="0" borderId="1" xfId="1" applyNumberFormat="1" applyFont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"/>
  <sheetViews>
    <sheetView tabSelected="1" workbookViewId="0">
      <selection activeCell="E15" sqref="E15"/>
    </sheetView>
  </sheetViews>
  <sheetFormatPr defaultRowHeight="15" x14ac:dyDescent="0.25"/>
  <cols>
    <col min="1" max="29" width="17.5703125" customWidth="1"/>
  </cols>
  <sheetData>
    <row r="1" spans="1:29" ht="15.75" x14ac:dyDescent="0.25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21</v>
      </c>
      <c r="I1" s="1" t="s">
        <v>28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20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</row>
    <row r="2" spans="1:29" ht="15.75" x14ac:dyDescent="0.25">
      <c r="A2" s="1">
        <v>2021</v>
      </c>
      <c r="B2" s="2">
        <v>7523837</v>
      </c>
      <c r="C2" s="2">
        <v>12371628</v>
      </c>
      <c r="D2" s="2">
        <v>19895465</v>
      </c>
      <c r="E2" s="2">
        <v>2103744</v>
      </c>
      <c r="F2" s="2">
        <v>10518281</v>
      </c>
      <c r="G2" s="2">
        <v>19895465</v>
      </c>
      <c r="H2" s="1">
        <v>34588433</v>
      </c>
      <c r="I2" s="1">
        <v>-24836018</v>
      </c>
      <c r="J2" s="1">
        <v>9752415</v>
      </c>
      <c r="K2" s="1">
        <v>2945756</v>
      </c>
      <c r="L2" s="1">
        <v>2630988</v>
      </c>
      <c r="M2" s="1">
        <v>1974674</v>
      </c>
      <c r="N2" s="1">
        <v>28.2</v>
      </c>
      <c r="O2" s="1">
        <v>8.5</v>
      </c>
      <c r="P2" s="1">
        <v>7.6</v>
      </c>
      <c r="Q2" s="1">
        <v>5.7</v>
      </c>
      <c r="R2" s="1">
        <v>11</v>
      </c>
      <c r="S2" s="1">
        <v>26.5</v>
      </c>
      <c r="T2" s="1">
        <v>1.2</v>
      </c>
      <c r="U2" s="1">
        <v>0.6</v>
      </c>
      <c r="V2" s="3">
        <v>0.1</v>
      </c>
      <c r="W2" s="4">
        <v>7.3</v>
      </c>
      <c r="X2" s="1">
        <v>85.3</v>
      </c>
      <c r="Y2" s="1">
        <v>12.4</v>
      </c>
      <c r="Z2" s="1">
        <v>22.7</v>
      </c>
      <c r="AA2" s="3">
        <v>75</v>
      </c>
      <c r="AB2" s="1">
        <v>2</v>
      </c>
      <c r="AC2" s="1">
        <v>9.4</v>
      </c>
    </row>
    <row r="3" spans="1:29" ht="15.75" x14ac:dyDescent="0.25">
      <c r="A3" s="1">
        <v>2022</v>
      </c>
      <c r="B3" s="2">
        <v>10921691</v>
      </c>
      <c r="C3" s="2">
        <v>16119364</v>
      </c>
      <c r="D3" s="2">
        <v>27041055</v>
      </c>
      <c r="E3" s="2">
        <v>2584819</v>
      </c>
      <c r="F3" s="2">
        <v>15195655</v>
      </c>
      <c r="G3" s="2">
        <v>27041055</v>
      </c>
      <c r="H3" s="1">
        <v>45525608</v>
      </c>
      <c r="I3" s="1">
        <v>-32546204</v>
      </c>
      <c r="J3" s="1">
        <v>12979405</v>
      </c>
      <c r="K3" s="1">
        <v>4078810</v>
      </c>
      <c r="L3" s="1">
        <v>3615000</v>
      </c>
      <c r="M3" s="1">
        <v>2717075</v>
      </c>
      <c r="N3" s="1">
        <v>28.5</v>
      </c>
      <c r="O3" s="1">
        <v>9</v>
      </c>
      <c r="P3" s="1">
        <v>7.9</v>
      </c>
      <c r="Q3" s="1">
        <v>6</v>
      </c>
      <c r="R3" s="1">
        <v>11.5</v>
      </c>
      <c r="S3" s="1">
        <v>28.5</v>
      </c>
      <c r="T3" s="1">
        <v>1.1000000000000001</v>
      </c>
      <c r="U3" s="1">
        <v>0.4</v>
      </c>
      <c r="V3" s="3">
        <v>-0.1</v>
      </c>
      <c r="W3" s="4">
        <v>3.2</v>
      </c>
      <c r="X3" s="1">
        <v>89.3</v>
      </c>
      <c r="Y3" s="1">
        <v>14.8</v>
      </c>
      <c r="Z3" s="1">
        <v>20.9</v>
      </c>
      <c r="AA3" s="3">
        <v>83.2</v>
      </c>
      <c r="AB3" s="1">
        <v>1.9</v>
      </c>
      <c r="AC3" s="1">
        <v>8.8000000000000007</v>
      </c>
    </row>
    <row r="4" spans="1:29" ht="15.75" x14ac:dyDescent="0.25">
      <c r="A4" s="1">
        <v>2023</v>
      </c>
      <c r="B4" s="2">
        <v>15823864</v>
      </c>
      <c r="C4" s="2">
        <v>23328769</v>
      </c>
      <c r="D4" s="2">
        <v>39152633</v>
      </c>
      <c r="E4" s="2">
        <v>6991346</v>
      </c>
      <c r="F4" s="2">
        <v>19206475</v>
      </c>
      <c r="G4" s="2">
        <v>39152633</v>
      </c>
      <c r="H4" s="1">
        <v>64322287</v>
      </c>
      <c r="I4" s="1">
        <v>-46128408</v>
      </c>
      <c r="J4" s="1">
        <v>18193879</v>
      </c>
      <c r="K4" s="1">
        <v>6118734</v>
      </c>
      <c r="L4" s="1">
        <v>4959845</v>
      </c>
      <c r="M4" s="1">
        <v>3794724</v>
      </c>
      <c r="N4" s="1">
        <v>28.3</v>
      </c>
      <c r="O4" s="1">
        <v>8.6</v>
      </c>
      <c r="P4" s="1">
        <v>7.7</v>
      </c>
      <c r="Q4" s="1">
        <v>5.9</v>
      </c>
      <c r="R4" s="1">
        <v>11</v>
      </c>
      <c r="S4" s="1">
        <v>28.4</v>
      </c>
      <c r="T4" s="1">
        <v>1.2</v>
      </c>
      <c r="U4" s="1">
        <v>0.4</v>
      </c>
      <c r="V4" s="3">
        <v>-0.1</v>
      </c>
      <c r="W4" s="4">
        <v>4.5999999999999996</v>
      </c>
      <c r="X4" s="1">
        <v>96</v>
      </c>
      <c r="Y4" s="1">
        <v>16.899999999999999</v>
      </c>
      <c r="Z4" s="1">
        <v>24.3</v>
      </c>
      <c r="AA4" s="3">
        <v>88.6</v>
      </c>
      <c r="AB4" s="1">
        <v>1.9</v>
      </c>
      <c r="AC4" s="1">
        <v>4.7</v>
      </c>
    </row>
    <row r="5" spans="1:29" ht="15.75" x14ac:dyDescent="0.25">
      <c r="A5" s="1">
        <v>2024</v>
      </c>
      <c r="B5" s="2">
        <v>20861225</v>
      </c>
      <c r="C5" s="2">
        <v>24414519</v>
      </c>
      <c r="D5" s="2">
        <v>45275744</v>
      </c>
      <c r="E5" s="2">
        <v>11715932</v>
      </c>
      <c r="F5" s="2">
        <v>19503791</v>
      </c>
      <c r="G5" s="2">
        <v>45275744</v>
      </c>
      <c r="H5" s="1">
        <v>86375106</v>
      </c>
      <c r="I5" s="1">
        <v>-62805113</v>
      </c>
      <c r="J5" s="1">
        <v>23569993</v>
      </c>
      <c r="K5" s="1">
        <v>6229812</v>
      </c>
      <c r="L5" s="1">
        <v>3632547</v>
      </c>
      <c r="M5" s="1">
        <v>2794910</v>
      </c>
      <c r="N5" s="1">
        <v>27.3</v>
      </c>
      <c r="O5" s="1">
        <v>7.2</v>
      </c>
      <c r="P5" s="1">
        <v>4.2</v>
      </c>
      <c r="Q5" s="1">
        <v>3.2</v>
      </c>
      <c r="R5" s="1">
        <v>9.9</v>
      </c>
      <c r="S5" s="1">
        <v>16.100000000000001</v>
      </c>
      <c r="T5" s="1">
        <v>1.3</v>
      </c>
      <c r="U5" s="1">
        <v>0.5</v>
      </c>
      <c r="V5" s="3">
        <v>0.1</v>
      </c>
      <c r="W5" s="4">
        <v>8</v>
      </c>
      <c r="X5" s="1">
        <v>83.1</v>
      </c>
      <c r="Y5" s="1">
        <v>13.7</v>
      </c>
      <c r="Z5" s="1">
        <v>26.8</v>
      </c>
      <c r="AA5" s="3">
        <v>70</v>
      </c>
      <c r="AB5" s="1">
        <v>2</v>
      </c>
      <c r="AC5" s="1">
        <v>2.4</v>
      </c>
    </row>
    <row r="6" spans="1:29" ht="15.75" x14ac:dyDescent="0.25">
      <c r="A6" s="1">
        <v>2025</v>
      </c>
      <c r="B6" s="2">
        <v>20860718</v>
      </c>
      <c r="C6" s="2">
        <f>24461062+166101</f>
        <v>24627163</v>
      </c>
      <c r="D6" s="2">
        <v>45487881</v>
      </c>
      <c r="E6" s="2">
        <v>11350560</v>
      </c>
      <c r="F6" s="2">
        <v>18115088</v>
      </c>
      <c r="G6" s="2">
        <v>45487881</v>
      </c>
      <c r="H6" s="1">
        <v>101306925</v>
      </c>
      <c r="I6" s="1">
        <v>-72166572</v>
      </c>
      <c r="J6" s="1">
        <v>29140353</v>
      </c>
      <c r="K6" s="1">
        <v>8487842</v>
      </c>
      <c r="L6" s="1">
        <v>5858580</v>
      </c>
      <c r="M6" s="1">
        <v>4418528</v>
      </c>
      <c r="N6" s="1">
        <v>28.8</v>
      </c>
      <c r="O6" s="1">
        <v>8.4</v>
      </c>
      <c r="P6" s="1">
        <v>5.8</v>
      </c>
      <c r="Q6" s="1">
        <v>4.4000000000000004</v>
      </c>
      <c r="R6" s="1">
        <v>11.4</v>
      </c>
      <c r="S6" s="1">
        <v>26.1</v>
      </c>
      <c r="T6" s="1">
        <v>1.4</v>
      </c>
      <c r="U6" s="1">
        <v>0.6</v>
      </c>
      <c r="V6" s="3">
        <v>0.05</v>
      </c>
      <c r="W6" s="4">
        <v>8.1</v>
      </c>
      <c r="X6" s="1">
        <v>69.5</v>
      </c>
      <c r="Y6" s="1">
        <v>12.9</v>
      </c>
      <c r="Z6" s="1">
        <v>23.2</v>
      </c>
      <c r="AA6" s="3">
        <v>59.3</v>
      </c>
      <c r="AB6" s="1">
        <v>2.2000000000000002</v>
      </c>
      <c r="AC6" s="1">
        <v>3.2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 x14ac:dyDescent="0.25"/>
  <cols>
    <col min="1" max="1" width="29.5703125" customWidth="1"/>
  </cols>
  <sheetData>
    <row r="1" spans="1:2" x14ac:dyDescent="0.25">
      <c r="A1" t="s">
        <v>29</v>
      </c>
    </row>
    <row r="2" spans="1:2" ht="15.75" x14ac:dyDescent="0.25">
      <c r="A2" s="1" t="s">
        <v>5</v>
      </c>
      <c r="B2" t="s">
        <v>30</v>
      </c>
    </row>
    <row r="3" spans="1:2" ht="15.75" x14ac:dyDescent="0.25">
      <c r="A3" s="1" t="s">
        <v>6</v>
      </c>
      <c r="B3" t="s">
        <v>30</v>
      </c>
    </row>
    <row r="4" spans="1:2" ht="15.75" x14ac:dyDescent="0.25">
      <c r="A4" s="1" t="s">
        <v>20</v>
      </c>
      <c r="B4" t="s">
        <v>30</v>
      </c>
    </row>
    <row r="5" spans="1:2" ht="15.75" x14ac:dyDescent="0.25">
      <c r="A5" s="1" t="s">
        <v>7</v>
      </c>
      <c r="B5" t="s">
        <v>30</v>
      </c>
    </row>
    <row r="6" spans="1:2" ht="15.75" x14ac:dyDescent="0.25">
      <c r="A6" s="1" t="s">
        <v>8</v>
      </c>
      <c r="B6" t="s">
        <v>30</v>
      </c>
    </row>
    <row r="7" spans="1:2" ht="15.75" x14ac:dyDescent="0.25">
      <c r="A7" s="1" t="s">
        <v>9</v>
      </c>
      <c r="B7" t="s">
        <v>30</v>
      </c>
    </row>
    <row r="8" spans="1:2" ht="15.75" x14ac:dyDescent="0.25">
      <c r="A8" s="1" t="s">
        <v>10</v>
      </c>
      <c r="B8" t="s">
        <v>31</v>
      </c>
    </row>
    <row r="9" spans="1:2" ht="15.75" x14ac:dyDescent="0.25">
      <c r="A9" s="1" t="s">
        <v>11</v>
      </c>
      <c r="B9" t="s">
        <v>31</v>
      </c>
    </row>
    <row r="10" spans="1:2" ht="15.75" x14ac:dyDescent="0.25">
      <c r="A10" s="1" t="s">
        <v>12</v>
      </c>
      <c r="B10" t="s">
        <v>31</v>
      </c>
    </row>
    <row r="11" spans="1:2" ht="15.75" x14ac:dyDescent="0.25">
      <c r="A11" s="1" t="s">
        <v>13</v>
      </c>
      <c r="B11" t="s">
        <v>30</v>
      </c>
    </row>
    <row r="12" spans="1:2" ht="15.75" x14ac:dyDescent="0.25">
      <c r="A12" s="1" t="s">
        <v>14</v>
      </c>
      <c r="B12" t="s">
        <v>32</v>
      </c>
    </row>
    <row r="13" spans="1:2" ht="15.75" x14ac:dyDescent="0.25">
      <c r="A13" s="1" t="s">
        <v>15</v>
      </c>
      <c r="B13" t="s">
        <v>32</v>
      </c>
    </row>
    <row r="14" spans="1:2" ht="15.75" x14ac:dyDescent="0.25">
      <c r="A14" s="1" t="s">
        <v>16</v>
      </c>
      <c r="B14" t="s">
        <v>32</v>
      </c>
    </row>
    <row r="15" spans="1:2" ht="15.75" x14ac:dyDescent="0.25">
      <c r="A15" s="1" t="s">
        <v>17</v>
      </c>
      <c r="B15" t="s">
        <v>32</v>
      </c>
    </row>
    <row r="16" spans="1:2" ht="15.75" x14ac:dyDescent="0.25">
      <c r="A16" s="1" t="s">
        <v>18</v>
      </c>
      <c r="B16" t="s">
        <v>31</v>
      </c>
    </row>
    <row r="17" spans="1:2" ht="15.75" x14ac:dyDescent="0.25">
      <c r="A17" s="1" t="s">
        <v>19</v>
      </c>
      <c r="B17" t="s">
        <v>31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2026-02-06T16:08:38Z</dcterms:created>
  <dcterms:modified xsi:type="dcterms:W3CDTF">2026-02-07T06:47:39Z</dcterms:modified>
</cp:coreProperties>
</file>